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a548a404e7c33d/Documents/"/>
    </mc:Choice>
  </mc:AlternateContent>
  <xr:revisionPtr revIDLastSave="80" documentId="8_{D4525B79-103B-4482-9925-7959E98B75FA}" xr6:coauthVersionLast="47" xr6:coauthVersionMax="47" xr10:uidLastSave="{DBEEDD24-F79A-4FAC-8D01-527B15AE7F64}"/>
  <bookViews>
    <workbookView xWindow="2472" yWindow="2472" windowWidth="11700" windowHeight="8880" xr2:uid="{9B9A75A2-6876-49CA-AE04-736EDA51B17D}"/>
  </bookViews>
  <sheets>
    <sheet name="Student Grade" sheetId="1" r:id="rId1"/>
    <sheet name="Sales Data" sheetId="2" r:id="rId2"/>
    <sheet name="Employees Data" sheetId="3" r:id="rId3"/>
    <sheet name="Vlookup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4" l="1"/>
  <c r="E11" i="4"/>
  <c r="I32" i="3"/>
  <c r="I31" i="3"/>
  <c r="I30" i="3"/>
  <c r="F30" i="3"/>
  <c r="F31" i="3"/>
  <c r="F32" i="3"/>
  <c r="F29" i="3"/>
  <c r="C30" i="3"/>
  <c r="C31" i="3"/>
  <c r="C32" i="3"/>
  <c r="C29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" i="3"/>
  <c r="L28" i="2"/>
  <c r="J28" i="2"/>
  <c r="C38" i="2"/>
  <c r="C37" i="2"/>
  <c r="C36" i="2"/>
  <c r="C35" i="2"/>
  <c r="C29" i="2"/>
  <c r="C30" i="2"/>
  <c r="C28" i="2"/>
  <c r="G29" i="2"/>
  <c r="G30" i="2"/>
  <c r="G31" i="2"/>
  <c r="G32" i="2"/>
  <c r="G28" i="2"/>
  <c r="P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3" i="2"/>
  <c r="L36" i="1"/>
  <c r="L28" i="1"/>
  <c r="D36" i="1"/>
  <c r="E30" i="1"/>
  <c r="E29" i="1"/>
  <c r="D30" i="1"/>
  <c r="C30" i="1"/>
  <c r="D29" i="1"/>
  <c r="C29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</calcChain>
</file>

<file path=xl/sharedStrings.xml><?xml version="1.0" encoding="utf-8"?>
<sst xmlns="http://schemas.openxmlformats.org/spreadsheetml/2006/main" count="216" uniqueCount="136">
  <si>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</si>
  <si>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</si>
  <si>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</si>
  <si>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</si>
  <si>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</si>
  <si>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</si>
  <si>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</si>
  <si>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</si>
  <si>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</si>
  <si>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</si>
  <si>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</si>
  <si>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</si>
  <si>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</si>
  <si>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</si>
  <si>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</si>
  <si>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</si>
  <si>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</si>
  <si>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</si>
  <si>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</si>
  <si>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</si>
  <si>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</si>
  <si>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</si>
  <si>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</si>
  <si>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</si>
  <si>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</si>
  <si>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</si>
  <si>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</si>
  <si>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</si>
  <si>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</si>
  <si>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</si>
  <si>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</si>
  <si>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</si>
  <si>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</si>
  <si>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</si>
  <si>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</si>
  <si>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</si>
  <si>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</si>
  <si>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</si>
  <si>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</si>
  <si>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</si>
  <si>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</si>
  <si>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</si>
  <si>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</si>
  <si>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</si>
  <si>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</si>
  <si>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</si>
  <si>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</si>
  <si>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</si>
  <si>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</si>
  <si>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</si>
  <si>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</si>
  <si>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</si>
  <si>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</si>
  <si>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</si>
  <si>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</si>
  <si>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</si>
  <si>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</si>
  <si>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</si>
  <si>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</si>
  <si>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</si>
  <si>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</si>
  <si>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</si>
  <si>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</si>
  <si>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</si>
  <si>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</si>
  <si>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</si>
  <si>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</si>
  <si>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</si>
  <si>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</si>
  <si>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</si>
  <si>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</si>
  <si>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</si>
  <si>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</si>
  <si>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</si>
  <si>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</si>
  <si>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</si>
  <si>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</si>
  <si>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</si>
  <si>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</si>
  <si>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</si>
  <si>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</si>
  <si>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</si>
  <si>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</si>
  <si>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</si>
  <si>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</si>
  <si>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</si>
  <si>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</si>
  <si>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</si>
  <si>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</si>
  <si>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Total Marks</t>
  </si>
  <si>
    <t>Percentage</t>
  </si>
  <si>
    <t>Grade</t>
  </si>
  <si>
    <t>Students scoring more than 80 in Maths and Science</t>
  </si>
  <si>
    <t>Top Performing Students</t>
  </si>
  <si>
    <t xml:space="preserve">Average score of students have more then 60%	</t>
  </si>
  <si>
    <t>Students scoring More than 50 in Maths</t>
  </si>
  <si>
    <t>Total Students</t>
  </si>
  <si>
    <t>Students scoring above 60%</t>
  </si>
  <si>
    <t>Discount</t>
  </si>
  <si>
    <t>Discount Eligibility</t>
  </si>
  <si>
    <t>Month-Year</t>
  </si>
  <si>
    <t>Roundup Amount</t>
  </si>
  <si>
    <t>Celing amount</t>
  </si>
  <si>
    <t>Floor</t>
  </si>
  <si>
    <t>Total Sum According to Product</t>
  </si>
  <si>
    <t>Xlookup for sales</t>
  </si>
  <si>
    <t>Total Sum According to region</t>
  </si>
  <si>
    <t>Position of Laptop</t>
  </si>
  <si>
    <t>Total Sales</t>
  </si>
  <si>
    <t>Bonus Eligibility</t>
  </si>
  <si>
    <t>Years or Service</t>
  </si>
  <si>
    <t>Total Salary Dept Vise</t>
  </si>
  <si>
    <t>Hr</t>
  </si>
  <si>
    <t>No. of employees having salary &gt; 50K</t>
  </si>
  <si>
    <t>Get Emp Details</t>
  </si>
  <si>
    <t>Emp Id:</t>
  </si>
  <si>
    <t>Emp Name:</t>
  </si>
  <si>
    <t>Emp Salary:</t>
  </si>
  <si>
    <t>Emp Dept:</t>
  </si>
  <si>
    <t>Product Code</t>
  </si>
  <si>
    <t>Product Name</t>
  </si>
  <si>
    <t>Unit Price</t>
  </si>
  <si>
    <t>P001</t>
  </si>
  <si>
    <t>P002</t>
  </si>
  <si>
    <t>P003</t>
  </si>
  <si>
    <t>P004</t>
  </si>
  <si>
    <t>P005</t>
  </si>
  <si>
    <t>Student Vlookup</t>
  </si>
  <si>
    <t>Product Vlookup</t>
  </si>
  <si>
    <t>Student ID:</t>
  </si>
  <si>
    <t>Product Code:</t>
  </si>
  <si>
    <t>Student Name:</t>
  </si>
  <si>
    <t>Product Name:</t>
  </si>
  <si>
    <t>Student Grade:</t>
  </si>
  <si>
    <t>C</t>
  </si>
  <si>
    <t>Unit Price: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</si>
</sst>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rgb="FFFFF2CC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rgb="FFCCE5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9" fontId="0" fillId="3" borderId="2" xfId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164" fontId="3" fillId="6" borderId="4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9" fontId="2" fillId="9" borderId="2" xfId="0" applyNumberFormat="1" applyFont="1" applyFill="1" applyBorder="1" applyAlignment="1">
      <alignment horizontal="center"/>
    </xf>
    <xf numFmtId="0" fontId="2" fillId="5" borderId="2" xfId="0" applyFont="1" applyFill="1" applyBorder="1"/>
    <xf numFmtId="9" fontId="2" fillId="2" borderId="2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1" fillId="0" borderId="2" xfId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3C835-C77E-4A3D-A344-AD55C5C21E60}">
  <sheetPr>
    <tabColor rgb="FFC00000"/>
  </sheetPr>
  <dimension ref="A1:M36"/>
  <sheetViews>
    <sheetView tabSelected="1" topLeftCell="D12" zoomScale="81" zoomScaleNormal="66" workbookViewId="0">
      <selection activeCell="K36" sqref="K36:L36"/>
    </sheetView>
  </sheetViews>
  <sheetFormatPr defaultRowHeight="14.4" x14ac:dyDescent="0.3"/>
  <cols>
    <col min="1" max="1" width="10.88671875" customWidth="1"/>
    <col min="2" max="2" width="10.77734375" customWidth="1"/>
    <col min="3" max="3" width="11.21875" customWidth="1"/>
    <col min="4" max="4" width="13.77734375" customWidth="1"/>
    <col min="6" max="6" width="20.21875" customWidth="1"/>
    <col min="9" max="9" width="12.33203125" customWidth="1"/>
    <col min="10" max="10" width="14.44140625" customWidth="1"/>
    <col min="11" max="12" width="15.44140625" customWidth="1"/>
    <col min="13" max="15" width="8.88671875" customWidth="1"/>
  </cols>
  <sheetData>
    <row r="1" spans="1:12" ht="48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7" t="s">
        <v>4</v>
      </c>
      <c r="F1" s="6" t="s">
        <v>5</v>
      </c>
      <c r="I1" s="6" t="s">
        <v>89</v>
      </c>
      <c r="J1" s="6" t="s">
        <v>90</v>
      </c>
      <c r="K1" s="6" t="s">
        <v>91</v>
      </c>
      <c r="L1" s="9" t="s">
        <v>92</v>
      </c>
    </row>
    <row r="2" spans="1:12" x14ac:dyDescent="0.3">
      <c r="A2" s="14">
        <v>1001</v>
      </c>
      <c r="B2" s="14" t="s">
        <v>6</v>
      </c>
      <c r="C2" s="14">
        <v>61</v>
      </c>
      <c r="D2" s="14">
        <v>48</v>
      </c>
      <c r="E2" s="14">
        <v>76</v>
      </c>
      <c r="F2" s="15">
        <v>43101</v>
      </c>
      <c r="I2" s="12">
        <f>SUM(C2:E2)</f>
        <v>185</v>
      </c>
      <c r="J2" s="13">
        <f>I2/300</f>
        <v>0.6166666666666667</v>
      </c>
      <c r="K2" s="12" t="str">
        <f>IF(J2&gt;=0.9,"A",IF(J2&gt;=0.75,"B",IF(J2&gt;=0.6,"C",IF(J2&gt;=0.4,"D","F"))))</f>
        <v>C</v>
      </c>
      <c r="L2" s="11" t="str">
        <f>IF(AND(C2&gt;=80,D2&gt;=80),"YES","NO")</f>
        <v>NO</v>
      </c>
    </row>
    <row r="3" spans="1:12" x14ac:dyDescent="0.3">
      <c r="A3" s="14">
        <v>1002</v>
      </c>
      <c r="B3" s="14" t="s">
        <v>7</v>
      </c>
      <c r="C3" s="14">
        <v>78</v>
      </c>
      <c r="D3" s="14">
        <v>76</v>
      </c>
      <c r="E3" s="14">
        <v>70</v>
      </c>
      <c r="F3" s="16">
        <v>43281</v>
      </c>
      <c r="I3" s="12">
        <f t="shared" ref="I3:I21" si="0">SUM(C3:E3)</f>
        <v>224</v>
      </c>
      <c r="J3" s="13">
        <f t="shared" ref="J3:J21" si="1">I3/300</f>
        <v>0.7466666666666667</v>
      </c>
      <c r="K3" s="12" t="str">
        <f t="shared" ref="K3:K21" si="2">IF(J3&gt;=0.9,"A",IF(J3&gt;=0.75,"B",IF(J3&gt;=0.6,"C",IF(J3&gt;=0.4,"D","F"))))</f>
        <v>C</v>
      </c>
      <c r="L3" s="11" t="str">
        <f t="shared" ref="L3:L21" si="3">IF(AND(C3&gt;=80,D3&gt;=80),"YES","NO")</f>
        <v>NO</v>
      </c>
    </row>
    <row r="4" spans="1:12" x14ac:dyDescent="0.3">
      <c r="A4" s="14">
        <v>1003</v>
      </c>
      <c r="B4" s="14" t="s">
        <v>8</v>
      </c>
      <c r="C4" s="14">
        <v>97</v>
      </c>
      <c r="D4" s="14">
        <v>60</v>
      </c>
      <c r="E4" s="14">
        <v>51</v>
      </c>
      <c r="F4" s="16">
        <v>43461</v>
      </c>
      <c r="I4" s="12">
        <f t="shared" si="0"/>
        <v>208</v>
      </c>
      <c r="J4" s="13">
        <f t="shared" si="1"/>
        <v>0.69333333333333336</v>
      </c>
      <c r="K4" s="12" t="str">
        <f t="shared" si="2"/>
        <v>C</v>
      </c>
      <c r="L4" s="11" t="str">
        <f t="shared" si="3"/>
        <v>NO</v>
      </c>
    </row>
    <row r="5" spans="1:12" x14ac:dyDescent="0.3">
      <c r="A5" s="14">
        <v>1004</v>
      </c>
      <c r="B5" s="14" t="s">
        <v>9</v>
      </c>
      <c r="C5" s="14">
        <v>74</v>
      </c>
      <c r="D5" s="14">
        <v>55</v>
      </c>
      <c r="E5" s="14">
        <v>46</v>
      </c>
      <c r="F5" s="16">
        <v>43641</v>
      </c>
      <c r="I5" s="12">
        <f t="shared" si="0"/>
        <v>175</v>
      </c>
      <c r="J5" s="13">
        <f t="shared" si="1"/>
        <v>0.58333333333333337</v>
      </c>
      <c r="K5" s="12" t="str">
        <f t="shared" si="2"/>
        <v>D</v>
      </c>
      <c r="L5" s="11" t="str">
        <f t="shared" si="3"/>
        <v>NO</v>
      </c>
    </row>
    <row r="6" spans="1:12" x14ac:dyDescent="0.3">
      <c r="A6" s="14">
        <v>1005</v>
      </c>
      <c r="B6" s="14" t="s">
        <v>10</v>
      </c>
      <c r="C6" s="14">
        <v>68</v>
      </c>
      <c r="D6" s="14">
        <v>74</v>
      </c>
      <c r="E6" s="14">
        <v>84</v>
      </c>
      <c r="F6" s="16">
        <v>43821</v>
      </c>
      <c r="I6" s="12">
        <f t="shared" si="0"/>
        <v>226</v>
      </c>
      <c r="J6" s="13">
        <f t="shared" si="1"/>
        <v>0.7533333333333333</v>
      </c>
      <c r="K6" s="12" t="str">
        <f t="shared" si="2"/>
        <v>B</v>
      </c>
      <c r="L6" s="11" t="str">
        <f t="shared" si="3"/>
        <v>NO</v>
      </c>
    </row>
    <row r="7" spans="1:12" x14ac:dyDescent="0.3">
      <c r="A7" s="14">
        <v>1006</v>
      </c>
      <c r="B7" s="14" t="s">
        <v>11</v>
      </c>
      <c r="C7" s="14">
        <v>80</v>
      </c>
      <c r="D7" s="14">
        <v>70</v>
      </c>
      <c r="E7" s="14">
        <v>65</v>
      </c>
      <c r="F7" s="16">
        <v>44001</v>
      </c>
      <c r="I7" s="12">
        <f t="shared" si="0"/>
        <v>215</v>
      </c>
      <c r="J7" s="13">
        <f t="shared" si="1"/>
        <v>0.71666666666666667</v>
      </c>
      <c r="K7" s="12" t="str">
        <f t="shared" si="2"/>
        <v>C</v>
      </c>
      <c r="L7" s="11" t="str">
        <f t="shared" si="3"/>
        <v>NO</v>
      </c>
    </row>
    <row r="8" spans="1:12" x14ac:dyDescent="0.3">
      <c r="A8" s="14">
        <v>1007</v>
      </c>
      <c r="B8" s="14" t="s">
        <v>12</v>
      </c>
      <c r="C8" s="14">
        <v>75</v>
      </c>
      <c r="D8" s="14">
        <v>47</v>
      </c>
      <c r="E8" s="14">
        <v>78</v>
      </c>
      <c r="F8" s="16">
        <v>44181</v>
      </c>
      <c r="I8" s="12">
        <f t="shared" si="0"/>
        <v>200</v>
      </c>
      <c r="J8" s="13">
        <f t="shared" si="1"/>
        <v>0.66666666666666663</v>
      </c>
      <c r="K8" s="12" t="str">
        <f t="shared" si="2"/>
        <v>C</v>
      </c>
      <c r="L8" s="11" t="str">
        <f t="shared" si="3"/>
        <v>NO</v>
      </c>
    </row>
    <row r="9" spans="1:12" x14ac:dyDescent="0.3">
      <c r="A9" s="14">
        <v>1008</v>
      </c>
      <c r="B9" s="14" t="s">
        <v>13</v>
      </c>
      <c r="C9" s="14">
        <v>94</v>
      </c>
      <c r="D9" s="14">
        <v>67</v>
      </c>
      <c r="E9" s="14">
        <v>64</v>
      </c>
      <c r="F9" s="16">
        <v>44361</v>
      </c>
      <c r="I9" s="12">
        <f t="shared" si="0"/>
        <v>225</v>
      </c>
      <c r="J9" s="13">
        <f t="shared" si="1"/>
        <v>0.75</v>
      </c>
      <c r="K9" s="12" t="str">
        <f t="shared" si="2"/>
        <v>B</v>
      </c>
      <c r="L9" s="11" t="str">
        <f t="shared" si="3"/>
        <v>NO</v>
      </c>
    </row>
    <row r="10" spans="1:12" x14ac:dyDescent="0.3">
      <c r="A10" s="14">
        <v>1009</v>
      </c>
      <c r="B10" s="14" t="s">
        <v>14</v>
      </c>
      <c r="C10" s="14">
        <v>41</v>
      </c>
      <c r="D10" s="14">
        <v>75</v>
      </c>
      <c r="E10" s="14">
        <v>56</v>
      </c>
      <c r="F10" s="16">
        <v>44541</v>
      </c>
      <c r="I10" s="12">
        <f t="shared" si="0"/>
        <v>172</v>
      </c>
      <c r="J10" s="13">
        <f t="shared" si="1"/>
        <v>0.57333333333333336</v>
      </c>
      <c r="K10" s="12" t="str">
        <f t="shared" si="2"/>
        <v>D</v>
      </c>
      <c r="L10" s="11" t="str">
        <f t="shared" si="3"/>
        <v>NO</v>
      </c>
    </row>
    <row r="11" spans="1:12" x14ac:dyDescent="0.3">
      <c r="A11" s="14">
        <v>1010</v>
      </c>
      <c r="B11" s="14" t="s">
        <v>15</v>
      </c>
      <c r="C11" s="14">
        <v>98</v>
      </c>
      <c r="D11" s="14">
        <v>54</v>
      </c>
      <c r="E11" s="14">
        <v>58</v>
      </c>
      <c r="F11" s="16">
        <v>44721</v>
      </c>
      <c r="I11" s="12">
        <f t="shared" si="0"/>
        <v>210</v>
      </c>
      <c r="J11" s="13">
        <f t="shared" si="1"/>
        <v>0.7</v>
      </c>
      <c r="K11" s="12" t="str">
        <f t="shared" si="2"/>
        <v>C</v>
      </c>
      <c r="L11" s="11" t="str">
        <f t="shared" si="3"/>
        <v>NO</v>
      </c>
    </row>
    <row r="12" spans="1:12" x14ac:dyDescent="0.3">
      <c r="A12" s="14">
        <v>1011</v>
      </c>
      <c r="B12" s="14" t="s">
        <v>16</v>
      </c>
      <c r="C12" s="14">
        <v>73</v>
      </c>
      <c r="D12" s="14">
        <v>79</v>
      </c>
      <c r="E12" s="14">
        <v>53</v>
      </c>
      <c r="F12" s="16">
        <v>44901</v>
      </c>
      <c r="I12" s="12">
        <f t="shared" si="0"/>
        <v>205</v>
      </c>
      <c r="J12" s="13">
        <f t="shared" si="1"/>
        <v>0.68333333333333335</v>
      </c>
      <c r="K12" s="12" t="str">
        <f t="shared" si="2"/>
        <v>C</v>
      </c>
      <c r="L12" s="11" t="str">
        <f t="shared" si="3"/>
        <v>NO</v>
      </c>
    </row>
    <row r="13" spans="1:12" x14ac:dyDescent="0.3">
      <c r="A13" s="14">
        <v>1012</v>
      </c>
      <c r="B13" s="14" t="s">
        <v>17</v>
      </c>
      <c r="C13" s="14">
        <v>85</v>
      </c>
      <c r="D13" s="14">
        <v>89</v>
      </c>
      <c r="E13" s="14">
        <v>79</v>
      </c>
      <c r="F13" s="16">
        <v>45081</v>
      </c>
      <c r="I13" s="12">
        <f t="shared" si="0"/>
        <v>253</v>
      </c>
      <c r="J13" s="13">
        <f t="shared" si="1"/>
        <v>0.84333333333333338</v>
      </c>
      <c r="K13" s="12" t="str">
        <f t="shared" si="2"/>
        <v>B</v>
      </c>
      <c r="L13" s="11" t="str">
        <f t="shared" si="3"/>
        <v>YES</v>
      </c>
    </row>
    <row r="14" spans="1:12" x14ac:dyDescent="0.3">
      <c r="A14" s="14">
        <v>1013</v>
      </c>
      <c r="B14" s="14" t="s">
        <v>18</v>
      </c>
      <c r="C14" s="14">
        <v>98</v>
      </c>
      <c r="D14" s="14">
        <v>90</v>
      </c>
      <c r="E14" s="14">
        <v>97</v>
      </c>
      <c r="F14" s="16">
        <v>45261</v>
      </c>
      <c r="I14" s="12">
        <f t="shared" si="0"/>
        <v>285</v>
      </c>
      <c r="J14" s="13">
        <f t="shared" si="1"/>
        <v>0.95</v>
      </c>
      <c r="K14" s="12" t="str">
        <f t="shared" si="2"/>
        <v>A</v>
      </c>
      <c r="L14" s="11" t="str">
        <f t="shared" si="3"/>
        <v>YES</v>
      </c>
    </row>
    <row r="15" spans="1:12" x14ac:dyDescent="0.3">
      <c r="A15" s="14">
        <v>1014</v>
      </c>
      <c r="B15" s="14" t="s">
        <v>19</v>
      </c>
      <c r="C15" s="14">
        <v>93</v>
      </c>
      <c r="D15" s="14">
        <v>40</v>
      </c>
      <c r="E15" s="14">
        <v>44</v>
      </c>
      <c r="F15" s="16">
        <v>45441</v>
      </c>
      <c r="I15" s="12">
        <f t="shared" si="0"/>
        <v>177</v>
      </c>
      <c r="J15" s="13">
        <f t="shared" si="1"/>
        <v>0.59</v>
      </c>
      <c r="K15" s="12" t="str">
        <f t="shared" si="2"/>
        <v>D</v>
      </c>
      <c r="L15" s="11" t="str">
        <f t="shared" si="3"/>
        <v>NO</v>
      </c>
    </row>
    <row r="16" spans="1:12" x14ac:dyDescent="0.3">
      <c r="A16" s="14">
        <v>1015</v>
      </c>
      <c r="B16" s="14" t="s">
        <v>20</v>
      </c>
      <c r="C16" s="14">
        <v>70</v>
      </c>
      <c r="D16" s="14">
        <v>51</v>
      </c>
      <c r="E16" s="14">
        <v>75</v>
      </c>
      <c r="F16" s="16">
        <v>45621</v>
      </c>
      <c r="I16" s="12">
        <f t="shared" si="0"/>
        <v>196</v>
      </c>
      <c r="J16" s="13">
        <f t="shared" si="1"/>
        <v>0.65333333333333332</v>
      </c>
      <c r="K16" s="12" t="str">
        <f t="shared" si="2"/>
        <v>C</v>
      </c>
      <c r="L16" s="11" t="str">
        <f t="shared" si="3"/>
        <v>NO</v>
      </c>
    </row>
    <row r="17" spans="1:13" x14ac:dyDescent="0.3">
      <c r="A17" s="14">
        <v>1016</v>
      </c>
      <c r="B17" s="14" t="s">
        <v>21</v>
      </c>
      <c r="C17" s="14">
        <v>98</v>
      </c>
      <c r="D17" s="14">
        <v>77</v>
      </c>
      <c r="E17" s="14">
        <v>60</v>
      </c>
      <c r="F17" s="16">
        <v>45801</v>
      </c>
      <c r="I17" s="12">
        <f t="shared" si="0"/>
        <v>235</v>
      </c>
      <c r="J17" s="13">
        <f t="shared" si="1"/>
        <v>0.78333333333333333</v>
      </c>
      <c r="K17" s="12" t="str">
        <f t="shared" si="2"/>
        <v>B</v>
      </c>
      <c r="L17" s="11" t="str">
        <f t="shared" si="3"/>
        <v>NO</v>
      </c>
    </row>
    <row r="18" spans="1:13" x14ac:dyDescent="0.3">
      <c r="A18" s="14">
        <v>1017</v>
      </c>
      <c r="B18" s="14" t="s">
        <v>22</v>
      </c>
      <c r="C18" s="14">
        <v>66</v>
      </c>
      <c r="D18" s="14">
        <v>59</v>
      </c>
      <c r="E18" s="14">
        <v>40</v>
      </c>
      <c r="F18" s="16">
        <v>45981</v>
      </c>
      <c r="I18" s="12">
        <f t="shared" si="0"/>
        <v>165</v>
      </c>
      <c r="J18" s="13">
        <f t="shared" si="1"/>
        <v>0.55000000000000004</v>
      </c>
      <c r="K18" s="12" t="str">
        <f t="shared" si="2"/>
        <v>D</v>
      </c>
      <c r="L18" s="11" t="str">
        <f t="shared" si="3"/>
        <v>NO</v>
      </c>
    </row>
    <row r="19" spans="1:13" x14ac:dyDescent="0.3">
      <c r="A19" s="14">
        <v>1018</v>
      </c>
      <c r="B19" s="14" t="s">
        <v>23</v>
      </c>
      <c r="C19" s="14">
        <v>82</v>
      </c>
      <c r="D19" s="14">
        <v>48</v>
      </c>
      <c r="E19" s="14">
        <v>79</v>
      </c>
      <c r="F19" s="16">
        <v>46161</v>
      </c>
      <c r="I19" s="12">
        <f t="shared" si="0"/>
        <v>209</v>
      </c>
      <c r="J19" s="13">
        <f t="shared" si="1"/>
        <v>0.69666666666666666</v>
      </c>
      <c r="K19" s="12" t="str">
        <f t="shared" si="2"/>
        <v>C</v>
      </c>
      <c r="L19" s="11" t="str">
        <f t="shared" si="3"/>
        <v>NO</v>
      </c>
    </row>
    <row r="20" spans="1:13" x14ac:dyDescent="0.3">
      <c r="A20" s="14">
        <v>1019</v>
      </c>
      <c r="B20" s="14" t="s">
        <v>24</v>
      </c>
      <c r="C20" s="14">
        <v>90</v>
      </c>
      <c r="D20" s="14">
        <v>78</v>
      </c>
      <c r="E20" s="14">
        <v>60</v>
      </c>
      <c r="F20" s="16">
        <v>46341</v>
      </c>
      <c r="I20" s="12">
        <f t="shared" si="0"/>
        <v>228</v>
      </c>
      <c r="J20" s="13">
        <f t="shared" si="1"/>
        <v>0.76</v>
      </c>
      <c r="K20" s="12" t="str">
        <f t="shared" si="2"/>
        <v>B</v>
      </c>
      <c r="L20" s="11" t="str">
        <f t="shared" si="3"/>
        <v>NO</v>
      </c>
    </row>
    <row r="21" spans="1:13" x14ac:dyDescent="0.3">
      <c r="A21" s="14">
        <v>1020</v>
      </c>
      <c r="B21" s="14" t="s">
        <v>25</v>
      </c>
      <c r="C21" s="14">
        <v>83</v>
      </c>
      <c r="D21" s="14">
        <v>92</v>
      </c>
      <c r="E21" s="14">
        <v>55</v>
      </c>
      <c r="F21" s="16">
        <v>46521</v>
      </c>
      <c r="I21" s="12">
        <f t="shared" si="0"/>
        <v>230</v>
      </c>
      <c r="J21" s="13">
        <f t="shared" si="1"/>
        <v>0.76666666666666672</v>
      </c>
      <c r="K21" s="12" t="str">
        <f t="shared" si="2"/>
        <v>B</v>
      </c>
      <c r="L21" s="11" t="str">
        <f t="shared" si="3"/>
        <v>YES</v>
      </c>
    </row>
    <row r="25" spans="1:13" x14ac:dyDescent="0.3">
      <c r="A25" s="34" t="s">
        <v>93</v>
      </c>
      <c r="B25" s="35"/>
      <c r="C25" s="35"/>
      <c r="D25" s="35"/>
      <c r="E25" s="35"/>
      <c r="F25" s="35"/>
      <c r="I25" s="37" t="s">
        <v>95</v>
      </c>
      <c r="J25" s="38"/>
      <c r="K25" s="38"/>
      <c r="L25" s="38"/>
      <c r="M25" s="38"/>
    </row>
    <row r="26" spans="1:13" x14ac:dyDescent="0.3">
      <c r="A26" s="35"/>
      <c r="B26" s="35"/>
      <c r="C26" s="35"/>
      <c r="D26" s="35"/>
      <c r="E26" s="35"/>
      <c r="F26" s="35"/>
      <c r="I26" s="38"/>
      <c r="J26" s="38"/>
      <c r="K26" s="38"/>
      <c r="L26" s="38"/>
      <c r="M26" s="38"/>
    </row>
    <row r="27" spans="1:13" x14ac:dyDescent="0.3">
      <c r="A27" s="35"/>
      <c r="B27" s="35"/>
      <c r="C27" s="35"/>
      <c r="D27" s="35"/>
      <c r="E27" s="35"/>
      <c r="F27" s="35"/>
      <c r="I27" s="38"/>
      <c r="J27" s="38"/>
      <c r="K27" s="38"/>
      <c r="L27" s="38"/>
      <c r="M27" s="38"/>
    </row>
    <row r="28" spans="1:13" x14ac:dyDescent="0.3">
      <c r="A28" s="10"/>
      <c r="B28" s="17" t="s">
        <v>0</v>
      </c>
      <c r="C28" s="17" t="s">
        <v>1</v>
      </c>
      <c r="D28" s="17" t="s">
        <v>90</v>
      </c>
      <c r="E28" s="17" t="s">
        <v>91</v>
      </c>
      <c r="F28" s="10"/>
      <c r="K28" s="22" t="s">
        <v>96</v>
      </c>
      <c r="L28" s="23">
        <f>COUNTIFS(C2:C21,"&gt;50")</f>
        <v>19</v>
      </c>
    </row>
    <row r="29" spans="1:13" x14ac:dyDescent="0.3">
      <c r="A29" s="10"/>
      <c r="B29" s="18">
        <v>1012</v>
      </c>
      <c r="C29" s="18" t="str">
        <f>B13</f>
        <v>Student 12</v>
      </c>
      <c r="D29" s="19">
        <f>J13</f>
        <v>0.84333333333333338</v>
      </c>
      <c r="E29" s="18" t="str">
        <f>K13</f>
        <v>B</v>
      </c>
      <c r="F29" s="10"/>
    </row>
    <row r="30" spans="1:13" x14ac:dyDescent="0.3">
      <c r="A30" s="10"/>
      <c r="B30" s="18">
        <v>1013</v>
      </c>
      <c r="C30" s="18" t="str">
        <f>B14</f>
        <v>Student 13</v>
      </c>
      <c r="D30" s="19">
        <f>J14</f>
        <v>0.95</v>
      </c>
      <c r="E30" s="18" t="str">
        <f>K14</f>
        <v>A</v>
      </c>
      <c r="F30" s="10"/>
    </row>
    <row r="33" spans="1:13" x14ac:dyDescent="0.3">
      <c r="A33" s="36" t="s">
        <v>94</v>
      </c>
      <c r="B33" s="36"/>
      <c r="C33" s="36"/>
      <c r="D33" s="36"/>
      <c r="E33" s="36"/>
      <c r="F33" s="36"/>
      <c r="I33" s="39" t="s">
        <v>97</v>
      </c>
      <c r="J33" s="38"/>
      <c r="K33" s="38"/>
      <c r="L33" s="38"/>
      <c r="M33" s="38"/>
    </row>
    <row r="34" spans="1:13" x14ac:dyDescent="0.3">
      <c r="A34" s="36"/>
      <c r="B34" s="36"/>
      <c r="C34" s="36"/>
      <c r="D34" s="36"/>
      <c r="E34" s="36"/>
      <c r="F34" s="36"/>
      <c r="I34" s="38"/>
      <c r="J34" s="38"/>
      <c r="K34" s="38"/>
      <c r="L34" s="38"/>
      <c r="M34" s="38"/>
    </row>
    <row r="35" spans="1:13" ht="33.6" customHeight="1" x14ac:dyDescent="0.3">
      <c r="A35" s="36"/>
      <c r="B35" s="36"/>
      <c r="C35" s="36"/>
      <c r="D35" s="36"/>
      <c r="E35" s="36"/>
      <c r="F35" s="36"/>
      <c r="I35" s="38"/>
      <c r="J35" s="38"/>
      <c r="K35" s="38"/>
      <c r="L35" s="38"/>
      <c r="M35" s="38"/>
    </row>
    <row r="36" spans="1:13" x14ac:dyDescent="0.3">
      <c r="C36" s="20" t="s">
        <v>90</v>
      </c>
      <c r="D36" s="21">
        <f>AVERAGEIF(J2:J21,"&gt;0.6")</f>
        <v>0.73625000000000007</v>
      </c>
      <c r="K36" s="22" t="s">
        <v>96</v>
      </c>
      <c r="L36" s="23">
        <f>COUNTIFS(J2:J21,"&gt;0.6")</f>
        <v>16</v>
      </c>
    </row>
  </sheetData>
  <mergeCells count="4">
    <mergeCell ref="A25:F27"/>
    <mergeCell ref="A33:F35"/>
    <mergeCell ref="I25:M27"/>
    <mergeCell ref="I33:M35"/>
  </mergeCells>
  <pageMargins left="0.7" right="0.7" top="0.75" bottom="0.75" header="0.3" footer="0.3"/>
  <ignoredErrors>
    <ignoredError sqref="I2 I3:I2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4FA9F-AD4B-4315-9157-154D0A123049}">
  <sheetPr>
    <tabColor rgb="FF0070C0"/>
  </sheetPr>
  <dimension ref="A1:P38"/>
  <sheetViews>
    <sheetView topLeftCell="D29" workbookViewId="0">
      <selection activeCell="J28" sqref="J28"/>
    </sheetView>
  </sheetViews>
  <sheetFormatPr defaultRowHeight="14.4" x14ac:dyDescent="0.3"/>
  <cols>
    <col min="4" max="4" width="12.21875" customWidth="1"/>
    <col min="5" max="5" width="9.21875" customWidth="1"/>
    <col min="6" max="6" width="19" customWidth="1"/>
    <col min="10" max="10" width="19.77734375" customWidth="1"/>
    <col min="11" max="11" width="13.5546875" customWidth="1"/>
    <col min="12" max="12" width="12.109375" customWidth="1"/>
    <col min="14" max="14" width="18.6640625" customWidth="1"/>
    <col min="15" max="15" width="15.21875" customWidth="1"/>
  </cols>
  <sheetData>
    <row r="1" spans="1:16" x14ac:dyDescent="0.3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</row>
    <row r="2" spans="1:16" x14ac:dyDescent="0.3">
      <c r="A2" s="3">
        <v>2001</v>
      </c>
      <c r="B2" s="3" t="s">
        <v>32</v>
      </c>
      <c r="C2" s="3" t="s">
        <v>33</v>
      </c>
      <c r="D2" s="3" t="s">
        <v>34</v>
      </c>
      <c r="E2" s="3">
        <v>7048</v>
      </c>
      <c r="F2" s="4">
        <v>44927</v>
      </c>
      <c r="I2" s="24" t="s">
        <v>98</v>
      </c>
      <c r="J2" s="24" t="s">
        <v>99</v>
      </c>
      <c r="K2" s="20" t="s">
        <v>100</v>
      </c>
      <c r="N2" s="24" t="s">
        <v>101</v>
      </c>
      <c r="O2" s="24" t="s">
        <v>102</v>
      </c>
      <c r="P2" s="24" t="s">
        <v>103</v>
      </c>
    </row>
    <row r="3" spans="1:16" x14ac:dyDescent="0.3">
      <c r="A3" s="3">
        <v>2002</v>
      </c>
      <c r="B3" s="3" t="s">
        <v>35</v>
      </c>
      <c r="C3" s="3" t="s">
        <v>36</v>
      </c>
      <c r="D3" s="3" t="s">
        <v>37</v>
      </c>
      <c r="E3" s="3">
        <v>17428</v>
      </c>
      <c r="F3" s="4">
        <v>44942</v>
      </c>
      <c r="I3" s="26">
        <f>IF(E2&gt;=40000,0.2,IF(E2&gt;=30000,0.15,IF(E2&gt;=15000,0.1,0)))</f>
        <v>0</v>
      </c>
      <c r="J3" s="27" t="str">
        <f>IF(OR(E2&gt;=30000,E2&gt;=10000),"Eligible","Not Eligible")</f>
        <v>Not Eligible</v>
      </c>
      <c r="K3" s="10" t="str">
        <f>TEXT(F2,"MMM-YYYY")</f>
        <v>Jan-2023</v>
      </c>
      <c r="N3" s="27">
        <f>ROUND(E2,-1)</f>
        <v>7050</v>
      </c>
      <c r="O3" s="27">
        <f>CEILING(E2,100)</f>
        <v>7100</v>
      </c>
      <c r="P3" s="27">
        <f>FLOOR(E2,100)</f>
        <v>7000</v>
      </c>
    </row>
    <row r="4" spans="1:16" x14ac:dyDescent="0.3">
      <c r="A4" s="3">
        <v>2003</v>
      </c>
      <c r="B4" s="3" t="s">
        <v>38</v>
      </c>
      <c r="C4" s="3" t="s">
        <v>33</v>
      </c>
      <c r="D4" s="3" t="s">
        <v>39</v>
      </c>
      <c r="E4" s="3">
        <v>23672</v>
      </c>
      <c r="F4" s="4">
        <v>44957</v>
      </c>
      <c r="I4" s="26">
        <f t="shared" ref="I4:I22" si="0">IF(E3&gt;=40000,0.2,IF(E3&gt;=30000,0.15,IF(E3&gt;=15000,0.1,0)))</f>
        <v>0.1</v>
      </c>
      <c r="J4" s="27" t="str">
        <f t="shared" ref="J4:J22" si="1">IF(OR(E3&gt;=30000,E3&gt;=10000),"Eligible","Not Eligible")</f>
        <v>Eligible</v>
      </c>
      <c r="K4" s="10" t="str">
        <f t="shared" ref="K4:K22" si="2">TEXT(F3,"MMM-YYYY")</f>
        <v>Jan-2023</v>
      </c>
      <c r="N4" s="27">
        <f t="shared" ref="N4:N22" si="3">ROUND(E3,-1)</f>
        <v>17430</v>
      </c>
      <c r="O4" s="27">
        <f t="shared" ref="O4:O22" si="4">CEILING(E3,100)</f>
        <v>17500</v>
      </c>
      <c r="P4" s="27">
        <v>17400</v>
      </c>
    </row>
    <row r="5" spans="1:16" x14ac:dyDescent="0.3">
      <c r="A5" s="3">
        <v>2004</v>
      </c>
      <c r="B5" s="3" t="s">
        <v>35</v>
      </c>
      <c r="C5" s="3" t="s">
        <v>40</v>
      </c>
      <c r="D5" s="3" t="s">
        <v>41</v>
      </c>
      <c r="E5" s="3">
        <v>5264</v>
      </c>
      <c r="F5" s="4">
        <v>44972</v>
      </c>
      <c r="I5" s="26">
        <f t="shared" si="0"/>
        <v>0.1</v>
      </c>
      <c r="J5" s="27" t="str">
        <f t="shared" si="1"/>
        <v>Eligible</v>
      </c>
      <c r="K5" s="10" t="str">
        <f t="shared" si="2"/>
        <v>Jan-2023</v>
      </c>
      <c r="N5" s="27">
        <f t="shared" si="3"/>
        <v>23670</v>
      </c>
      <c r="O5" s="27">
        <f t="shared" si="4"/>
        <v>23700</v>
      </c>
      <c r="P5" s="27">
        <v>23600</v>
      </c>
    </row>
    <row r="6" spans="1:16" x14ac:dyDescent="0.3">
      <c r="A6" s="3">
        <v>2005</v>
      </c>
      <c r="B6" s="3" t="s">
        <v>32</v>
      </c>
      <c r="C6" s="3" t="s">
        <v>42</v>
      </c>
      <c r="D6" s="3" t="s">
        <v>43</v>
      </c>
      <c r="E6" s="3">
        <v>43388</v>
      </c>
      <c r="F6" s="4">
        <v>44987</v>
      </c>
      <c r="I6" s="26">
        <f t="shared" si="0"/>
        <v>0</v>
      </c>
      <c r="J6" s="27" t="str">
        <f t="shared" si="1"/>
        <v>Not Eligible</v>
      </c>
      <c r="K6" s="10" t="str">
        <f t="shared" si="2"/>
        <v>Feb-2023</v>
      </c>
      <c r="N6" s="27">
        <f t="shared" si="3"/>
        <v>5260</v>
      </c>
      <c r="O6" s="27">
        <f t="shared" si="4"/>
        <v>5300</v>
      </c>
      <c r="P6" s="27">
        <v>5200</v>
      </c>
    </row>
    <row r="7" spans="1:16" x14ac:dyDescent="0.3">
      <c r="A7" s="3">
        <v>2006</v>
      </c>
      <c r="B7" s="3" t="s">
        <v>38</v>
      </c>
      <c r="C7" s="3" t="s">
        <v>42</v>
      </c>
      <c r="D7" s="3" t="s">
        <v>44</v>
      </c>
      <c r="E7" s="3">
        <v>19757</v>
      </c>
      <c r="F7" s="4">
        <v>45002</v>
      </c>
      <c r="I7" s="26">
        <f t="shared" si="0"/>
        <v>0.2</v>
      </c>
      <c r="J7" s="27" t="str">
        <f t="shared" si="1"/>
        <v>Eligible</v>
      </c>
      <c r="K7" s="10" t="str">
        <f t="shared" si="2"/>
        <v>Mar-2023</v>
      </c>
      <c r="N7" s="27">
        <f t="shared" si="3"/>
        <v>43390</v>
      </c>
      <c r="O7" s="27">
        <f t="shared" si="4"/>
        <v>43400</v>
      </c>
      <c r="P7" s="27">
        <v>43300</v>
      </c>
    </row>
    <row r="8" spans="1:16" x14ac:dyDescent="0.3">
      <c r="A8" s="3">
        <v>2007</v>
      </c>
      <c r="B8" s="3" t="s">
        <v>38</v>
      </c>
      <c r="C8" s="3" t="s">
        <v>40</v>
      </c>
      <c r="D8" s="3" t="s">
        <v>45</v>
      </c>
      <c r="E8" s="3">
        <v>32058</v>
      </c>
      <c r="F8" s="4">
        <v>45017</v>
      </c>
      <c r="I8" s="26">
        <f t="shared" si="0"/>
        <v>0.1</v>
      </c>
      <c r="J8" s="27" t="str">
        <f t="shared" si="1"/>
        <v>Eligible</v>
      </c>
      <c r="K8" s="10" t="str">
        <f t="shared" si="2"/>
        <v>Mar-2023</v>
      </c>
      <c r="N8" s="27">
        <f t="shared" si="3"/>
        <v>19760</v>
      </c>
      <c r="O8" s="27">
        <f t="shared" si="4"/>
        <v>19800</v>
      </c>
      <c r="P8" s="27">
        <v>19700</v>
      </c>
    </row>
    <row r="9" spans="1:16" x14ac:dyDescent="0.3">
      <c r="A9" s="3">
        <v>2008</v>
      </c>
      <c r="B9" s="3" t="s">
        <v>32</v>
      </c>
      <c r="C9" s="3" t="s">
        <v>40</v>
      </c>
      <c r="D9" s="3" t="s">
        <v>46</v>
      </c>
      <c r="E9" s="3">
        <v>46429</v>
      </c>
      <c r="F9" s="4">
        <v>45032</v>
      </c>
      <c r="I9" s="26">
        <f t="shared" si="0"/>
        <v>0.15</v>
      </c>
      <c r="J9" s="27" t="str">
        <f t="shared" si="1"/>
        <v>Eligible</v>
      </c>
      <c r="K9" s="10" t="str">
        <f t="shared" si="2"/>
        <v>Apr-2023</v>
      </c>
      <c r="N9" s="27">
        <f t="shared" si="3"/>
        <v>32060</v>
      </c>
      <c r="O9" s="27">
        <f t="shared" si="4"/>
        <v>32100</v>
      </c>
      <c r="P9" s="27">
        <v>32000</v>
      </c>
    </row>
    <row r="10" spans="1:16" x14ac:dyDescent="0.3">
      <c r="A10" s="3">
        <v>2009</v>
      </c>
      <c r="B10" s="3" t="s">
        <v>35</v>
      </c>
      <c r="C10" s="3" t="s">
        <v>40</v>
      </c>
      <c r="D10" s="3" t="s">
        <v>47</v>
      </c>
      <c r="E10" s="3">
        <v>19746</v>
      </c>
      <c r="F10" s="4">
        <v>45047</v>
      </c>
      <c r="I10" s="26">
        <f t="shared" si="0"/>
        <v>0.2</v>
      </c>
      <c r="J10" s="27" t="str">
        <f t="shared" si="1"/>
        <v>Eligible</v>
      </c>
      <c r="K10" s="10" t="str">
        <f t="shared" si="2"/>
        <v>Apr-2023</v>
      </c>
      <c r="N10" s="27">
        <f t="shared" si="3"/>
        <v>46430</v>
      </c>
      <c r="O10" s="27">
        <f t="shared" si="4"/>
        <v>46500</v>
      </c>
      <c r="P10" s="27">
        <v>46400</v>
      </c>
    </row>
    <row r="11" spans="1:16" x14ac:dyDescent="0.3">
      <c r="A11" s="3">
        <v>2010</v>
      </c>
      <c r="B11" s="3" t="s">
        <v>32</v>
      </c>
      <c r="C11" s="3" t="s">
        <v>33</v>
      </c>
      <c r="D11" s="3" t="s">
        <v>48</v>
      </c>
      <c r="E11" s="3">
        <v>35185</v>
      </c>
      <c r="F11" s="4">
        <v>45062</v>
      </c>
      <c r="I11" s="26">
        <f t="shared" si="0"/>
        <v>0.1</v>
      </c>
      <c r="J11" s="27" t="str">
        <f t="shared" si="1"/>
        <v>Eligible</v>
      </c>
      <c r="K11" s="10" t="str">
        <f t="shared" si="2"/>
        <v>May-2023</v>
      </c>
      <c r="N11" s="27">
        <f t="shared" si="3"/>
        <v>19750</v>
      </c>
      <c r="O11" s="27">
        <f t="shared" si="4"/>
        <v>19800</v>
      </c>
      <c r="P11" s="27">
        <v>19700</v>
      </c>
    </row>
    <row r="12" spans="1:16" x14ac:dyDescent="0.3">
      <c r="A12" s="3">
        <v>2011</v>
      </c>
      <c r="B12" s="3" t="s">
        <v>32</v>
      </c>
      <c r="C12" s="3" t="s">
        <v>40</v>
      </c>
      <c r="D12" s="3" t="s">
        <v>49</v>
      </c>
      <c r="E12" s="3">
        <v>33920</v>
      </c>
      <c r="F12" s="4">
        <v>45077</v>
      </c>
      <c r="I12" s="26">
        <f t="shared" si="0"/>
        <v>0.15</v>
      </c>
      <c r="J12" s="27" t="str">
        <f t="shared" si="1"/>
        <v>Eligible</v>
      </c>
      <c r="K12" s="10" t="str">
        <f t="shared" si="2"/>
        <v>May-2023</v>
      </c>
      <c r="N12" s="27">
        <f t="shared" si="3"/>
        <v>35190</v>
      </c>
      <c r="O12" s="27">
        <f t="shared" si="4"/>
        <v>35200</v>
      </c>
      <c r="P12" s="27">
        <v>35100</v>
      </c>
    </row>
    <row r="13" spans="1:16" x14ac:dyDescent="0.3">
      <c r="A13" s="3">
        <v>2012</v>
      </c>
      <c r="B13" s="3" t="s">
        <v>50</v>
      </c>
      <c r="C13" s="3" t="s">
        <v>42</v>
      </c>
      <c r="D13" s="3" t="s">
        <v>51</v>
      </c>
      <c r="E13" s="3">
        <v>35611</v>
      </c>
      <c r="F13" s="4">
        <v>45092</v>
      </c>
      <c r="I13" s="26">
        <f t="shared" si="0"/>
        <v>0.15</v>
      </c>
      <c r="J13" s="27" t="str">
        <f t="shared" si="1"/>
        <v>Eligible</v>
      </c>
      <c r="K13" s="10" t="str">
        <f t="shared" si="2"/>
        <v>May-2023</v>
      </c>
      <c r="N13" s="27">
        <f t="shared" si="3"/>
        <v>33920</v>
      </c>
      <c r="O13" s="27">
        <f t="shared" si="4"/>
        <v>34000</v>
      </c>
      <c r="P13" s="27">
        <v>33900</v>
      </c>
    </row>
    <row r="14" spans="1:16" x14ac:dyDescent="0.3">
      <c r="A14" s="3">
        <v>2013</v>
      </c>
      <c r="B14" s="3" t="s">
        <v>52</v>
      </c>
      <c r="C14" s="3" t="s">
        <v>40</v>
      </c>
      <c r="D14" s="3" t="s">
        <v>53</v>
      </c>
      <c r="E14" s="3">
        <v>15560</v>
      </c>
      <c r="F14" s="4">
        <v>45107</v>
      </c>
      <c r="I14" s="26">
        <f t="shared" si="0"/>
        <v>0.15</v>
      </c>
      <c r="J14" s="27" t="str">
        <f t="shared" si="1"/>
        <v>Eligible</v>
      </c>
      <c r="K14" s="10" t="str">
        <f t="shared" si="2"/>
        <v>Jun-2023</v>
      </c>
      <c r="N14" s="27">
        <f t="shared" si="3"/>
        <v>35610</v>
      </c>
      <c r="O14" s="27">
        <f t="shared" si="4"/>
        <v>35700</v>
      </c>
      <c r="P14" s="27">
        <v>35600</v>
      </c>
    </row>
    <row r="15" spans="1:16" x14ac:dyDescent="0.3">
      <c r="A15" s="3">
        <v>2014</v>
      </c>
      <c r="B15" s="3" t="s">
        <v>52</v>
      </c>
      <c r="C15" s="3" t="s">
        <v>33</v>
      </c>
      <c r="D15" s="3" t="s">
        <v>54</v>
      </c>
      <c r="E15" s="3">
        <v>7283</v>
      </c>
      <c r="F15" s="4">
        <v>45122</v>
      </c>
      <c r="I15" s="26">
        <f t="shared" si="0"/>
        <v>0.1</v>
      </c>
      <c r="J15" s="27" t="str">
        <f t="shared" si="1"/>
        <v>Eligible</v>
      </c>
      <c r="K15" s="10" t="str">
        <f t="shared" si="2"/>
        <v>Jun-2023</v>
      </c>
      <c r="N15" s="27">
        <f t="shared" si="3"/>
        <v>15560</v>
      </c>
      <c r="O15" s="27">
        <f t="shared" si="4"/>
        <v>15600</v>
      </c>
      <c r="P15" s="27">
        <v>15500</v>
      </c>
    </row>
    <row r="16" spans="1:16" x14ac:dyDescent="0.3">
      <c r="A16" s="3">
        <v>2015</v>
      </c>
      <c r="B16" s="3" t="s">
        <v>52</v>
      </c>
      <c r="C16" s="3" t="s">
        <v>40</v>
      </c>
      <c r="D16" s="3" t="s">
        <v>55</v>
      </c>
      <c r="E16" s="3">
        <v>15678</v>
      </c>
      <c r="F16" s="4">
        <v>45137</v>
      </c>
      <c r="I16" s="26">
        <f t="shared" si="0"/>
        <v>0</v>
      </c>
      <c r="J16" s="27" t="str">
        <f t="shared" si="1"/>
        <v>Not Eligible</v>
      </c>
      <c r="K16" s="10" t="str">
        <f t="shared" si="2"/>
        <v>Jul-2023</v>
      </c>
      <c r="N16" s="27">
        <f t="shared" si="3"/>
        <v>7280</v>
      </c>
      <c r="O16" s="27">
        <f t="shared" si="4"/>
        <v>7300</v>
      </c>
      <c r="P16" s="27">
        <v>7200</v>
      </c>
    </row>
    <row r="17" spans="1:16" x14ac:dyDescent="0.3">
      <c r="A17" s="3">
        <v>2016</v>
      </c>
      <c r="B17" s="3" t="s">
        <v>38</v>
      </c>
      <c r="C17" s="3" t="s">
        <v>40</v>
      </c>
      <c r="D17" s="3" t="s">
        <v>56</v>
      </c>
      <c r="E17" s="3">
        <v>5277</v>
      </c>
      <c r="F17" s="4">
        <v>45152</v>
      </c>
      <c r="I17" s="26">
        <f t="shared" si="0"/>
        <v>0.1</v>
      </c>
      <c r="J17" s="27" t="str">
        <f t="shared" si="1"/>
        <v>Eligible</v>
      </c>
      <c r="K17" s="10" t="str">
        <f t="shared" si="2"/>
        <v>Jul-2023</v>
      </c>
      <c r="N17" s="27">
        <f t="shared" si="3"/>
        <v>15680</v>
      </c>
      <c r="O17" s="27">
        <f t="shared" si="4"/>
        <v>15700</v>
      </c>
      <c r="P17" s="27">
        <v>15600</v>
      </c>
    </row>
    <row r="18" spans="1:16" x14ac:dyDescent="0.3">
      <c r="A18" s="3">
        <v>2017</v>
      </c>
      <c r="B18" s="3" t="s">
        <v>50</v>
      </c>
      <c r="C18" s="3" t="s">
        <v>42</v>
      </c>
      <c r="D18" s="3" t="s">
        <v>57</v>
      </c>
      <c r="E18" s="3">
        <v>41871</v>
      </c>
      <c r="F18" s="4">
        <v>45167</v>
      </c>
      <c r="I18" s="26">
        <f t="shared" si="0"/>
        <v>0</v>
      </c>
      <c r="J18" s="27" t="str">
        <f t="shared" si="1"/>
        <v>Not Eligible</v>
      </c>
      <c r="K18" s="10" t="str">
        <f t="shared" si="2"/>
        <v>Aug-2023</v>
      </c>
      <c r="N18" s="27">
        <f t="shared" si="3"/>
        <v>5280</v>
      </c>
      <c r="O18" s="27">
        <f t="shared" si="4"/>
        <v>5300</v>
      </c>
      <c r="P18" s="27">
        <v>5200</v>
      </c>
    </row>
    <row r="19" spans="1:16" x14ac:dyDescent="0.3">
      <c r="A19" s="3">
        <v>2018</v>
      </c>
      <c r="B19" s="3" t="s">
        <v>50</v>
      </c>
      <c r="C19" s="3" t="s">
        <v>36</v>
      </c>
      <c r="D19" s="3" t="s">
        <v>58</v>
      </c>
      <c r="E19" s="3">
        <v>38161</v>
      </c>
      <c r="F19" s="4">
        <v>45182</v>
      </c>
      <c r="I19" s="26">
        <f t="shared" si="0"/>
        <v>0.2</v>
      </c>
      <c r="J19" s="27" t="str">
        <f t="shared" si="1"/>
        <v>Eligible</v>
      </c>
      <c r="K19" s="10" t="str">
        <f t="shared" si="2"/>
        <v>Aug-2023</v>
      </c>
      <c r="N19" s="27">
        <f t="shared" si="3"/>
        <v>41870</v>
      </c>
      <c r="O19" s="27">
        <f t="shared" si="4"/>
        <v>41900</v>
      </c>
      <c r="P19" s="27">
        <v>41800</v>
      </c>
    </row>
    <row r="20" spans="1:16" x14ac:dyDescent="0.3">
      <c r="A20" s="3">
        <v>2019</v>
      </c>
      <c r="B20" s="3" t="s">
        <v>38</v>
      </c>
      <c r="C20" s="3" t="s">
        <v>36</v>
      </c>
      <c r="D20" s="3" t="s">
        <v>59</v>
      </c>
      <c r="E20" s="3">
        <v>30436</v>
      </c>
      <c r="F20" s="4">
        <v>45197</v>
      </c>
      <c r="I20" s="26">
        <f t="shared" si="0"/>
        <v>0.15</v>
      </c>
      <c r="J20" s="27" t="str">
        <f t="shared" si="1"/>
        <v>Eligible</v>
      </c>
      <c r="K20" s="10" t="str">
        <f t="shared" si="2"/>
        <v>Sep-2023</v>
      </c>
      <c r="N20" s="27">
        <f t="shared" si="3"/>
        <v>38160</v>
      </c>
      <c r="O20" s="27">
        <f t="shared" si="4"/>
        <v>38200</v>
      </c>
      <c r="P20" s="27">
        <v>38100</v>
      </c>
    </row>
    <row r="21" spans="1:16" x14ac:dyDescent="0.3">
      <c r="A21" s="3">
        <v>2020</v>
      </c>
      <c r="B21" s="3" t="s">
        <v>35</v>
      </c>
      <c r="C21" s="3" t="s">
        <v>36</v>
      </c>
      <c r="D21" s="3" t="s">
        <v>60</v>
      </c>
      <c r="E21" s="3">
        <v>33953</v>
      </c>
      <c r="F21" s="4">
        <v>45212</v>
      </c>
      <c r="I21" s="26">
        <f t="shared" si="0"/>
        <v>0.15</v>
      </c>
      <c r="J21" s="27" t="str">
        <f t="shared" si="1"/>
        <v>Eligible</v>
      </c>
      <c r="K21" s="10" t="str">
        <f t="shared" si="2"/>
        <v>Sep-2023</v>
      </c>
      <c r="N21" s="27">
        <f t="shared" si="3"/>
        <v>30440</v>
      </c>
      <c r="O21" s="27">
        <f t="shared" si="4"/>
        <v>30500</v>
      </c>
      <c r="P21" s="27">
        <v>30400</v>
      </c>
    </row>
    <row r="22" spans="1:16" x14ac:dyDescent="0.3">
      <c r="I22" s="26">
        <f t="shared" si="0"/>
        <v>0.15</v>
      </c>
      <c r="J22" s="27" t="str">
        <f t="shared" si="1"/>
        <v>Eligible</v>
      </c>
      <c r="K22" s="10" t="str">
        <f t="shared" si="2"/>
        <v>Oct-2023</v>
      </c>
      <c r="N22" s="27">
        <f t="shared" si="3"/>
        <v>33950</v>
      </c>
      <c r="O22" s="27">
        <f t="shared" si="4"/>
        <v>34000</v>
      </c>
      <c r="P22" s="27">
        <v>33900</v>
      </c>
    </row>
    <row r="27" spans="1:16" ht="37.200000000000003" customHeight="1" x14ac:dyDescent="0.3">
      <c r="B27" s="41" t="s">
        <v>105</v>
      </c>
      <c r="C27" s="41"/>
      <c r="F27" s="40" t="s">
        <v>104</v>
      </c>
      <c r="G27" s="40"/>
      <c r="J27" s="24" t="s">
        <v>107</v>
      </c>
      <c r="K27" s="25"/>
      <c r="L27" s="24" t="s">
        <v>108</v>
      </c>
    </row>
    <row r="28" spans="1:16" x14ac:dyDescent="0.3">
      <c r="B28" s="30" t="s">
        <v>39</v>
      </c>
      <c r="C28" s="28">
        <f>_xlfn.XLOOKUP("Person 3",D:D,E:E)</f>
        <v>23672</v>
      </c>
      <c r="F28" s="29" t="s">
        <v>32</v>
      </c>
      <c r="G28" s="28">
        <f>SUMIF(B2:B21,F28,E2:E21)</f>
        <v>165970</v>
      </c>
      <c r="J28" s="31">
        <f>MATCH("Laptop",B2:B21,0)</f>
        <v>13</v>
      </c>
      <c r="K28" s="25"/>
      <c r="L28" s="28">
        <f>SUM(E2:E21)</f>
        <v>507725</v>
      </c>
    </row>
    <row r="29" spans="1:16" x14ac:dyDescent="0.3">
      <c r="B29" s="29" t="s">
        <v>44</v>
      </c>
      <c r="C29" s="28">
        <f t="shared" ref="C29:C30" si="5">_xlfn.XLOOKUP("Person 3",D:D,E:E)</f>
        <v>23672</v>
      </c>
      <c r="F29" s="29" t="s">
        <v>35</v>
      </c>
      <c r="G29" s="28">
        <f t="shared" ref="G29:G32" si="6">SUMIF(B3:B22,F29,E3:E22)</f>
        <v>76391</v>
      </c>
    </row>
    <row r="30" spans="1:16" x14ac:dyDescent="0.3">
      <c r="B30" s="29" t="s">
        <v>59</v>
      </c>
      <c r="C30" s="28">
        <f t="shared" si="5"/>
        <v>23672</v>
      </c>
      <c r="F30" s="29" t="s">
        <v>38</v>
      </c>
      <c r="G30" s="28">
        <f t="shared" si="6"/>
        <v>111200</v>
      </c>
    </row>
    <row r="31" spans="1:16" x14ac:dyDescent="0.3">
      <c r="F31" s="29" t="s">
        <v>52</v>
      </c>
      <c r="G31" s="28">
        <f t="shared" si="6"/>
        <v>38521</v>
      </c>
    </row>
    <row r="32" spans="1:16" x14ac:dyDescent="0.3">
      <c r="F32" s="29" t="s">
        <v>50</v>
      </c>
      <c r="G32" s="28">
        <f t="shared" si="6"/>
        <v>115643</v>
      </c>
    </row>
    <row r="34" spans="2:3" ht="33" customHeight="1" x14ac:dyDescent="0.3">
      <c r="B34" s="40" t="s">
        <v>106</v>
      </c>
      <c r="C34" s="40"/>
    </row>
    <row r="35" spans="2:3" x14ac:dyDescent="0.3">
      <c r="B35" s="29" t="s">
        <v>40</v>
      </c>
      <c r="C35" s="28">
        <f>SUMIF($C2:$C21,"East",$E$2:$E$21)</f>
        <v>173932</v>
      </c>
    </row>
    <row r="36" spans="2:3" x14ac:dyDescent="0.3">
      <c r="B36" s="29" t="s">
        <v>36</v>
      </c>
      <c r="C36" s="28">
        <f>SUMIF($C3:$C21,"West",$E$3:$E$21)</f>
        <v>119978</v>
      </c>
    </row>
    <row r="37" spans="2:3" x14ac:dyDescent="0.3">
      <c r="B37" s="29" t="s">
        <v>42</v>
      </c>
      <c r="C37" s="28">
        <f ca="1">SUMIF($C4:$C23,"North",$E$4:$E$21)</f>
        <v>140627</v>
      </c>
    </row>
    <row r="38" spans="2:3" x14ac:dyDescent="0.3">
      <c r="B38" s="29" t="s">
        <v>33</v>
      </c>
      <c r="C38" s="28">
        <f ca="1">SUMIF($C4:$C23,"South",$E$4:$E$21)</f>
        <v>66140</v>
      </c>
    </row>
  </sheetData>
  <mergeCells count="3">
    <mergeCell ref="F27:G27"/>
    <mergeCell ref="B27:C27"/>
    <mergeCell ref="B34:C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FB80-38AF-4CC1-80D1-DD3AD2DE3C64}">
  <sheetPr>
    <tabColor theme="9" tint="-0.499984740745262"/>
  </sheetPr>
  <dimension ref="A1:I32"/>
  <sheetViews>
    <sheetView zoomScale="77" workbookViewId="0">
      <selection activeCell="H28" sqref="H28:I28"/>
    </sheetView>
  </sheetViews>
  <sheetFormatPr defaultRowHeight="14.4" x14ac:dyDescent="0.3"/>
  <cols>
    <col min="1" max="1" width="14.6640625" customWidth="1"/>
    <col min="2" max="2" width="12.6640625" customWidth="1"/>
    <col min="3" max="3" width="12.33203125" customWidth="1"/>
    <col min="4" max="4" width="9" customWidth="1"/>
    <col min="5" max="5" width="19.6640625" customWidth="1"/>
    <col min="8" max="8" width="16.44140625" customWidth="1"/>
    <col min="9" max="9" width="16.109375" customWidth="1"/>
  </cols>
  <sheetData>
    <row r="1" spans="1:9" x14ac:dyDescent="0.3">
      <c r="A1" s="6" t="s">
        <v>61</v>
      </c>
      <c r="B1" s="6" t="s">
        <v>1</v>
      </c>
      <c r="C1" s="6" t="s">
        <v>62</v>
      </c>
      <c r="D1" s="6" t="s">
        <v>63</v>
      </c>
      <c r="E1" s="6" t="s">
        <v>64</v>
      </c>
      <c r="H1" s="24" t="s">
        <v>109</v>
      </c>
      <c r="I1" s="24" t="s">
        <v>110</v>
      </c>
    </row>
    <row r="2" spans="1:9" x14ac:dyDescent="0.3">
      <c r="A2" s="1">
        <v>3001</v>
      </c>
      <c r="B2" s="1" t="s">
        <v>65</v>
      </c>
      <c r="C2" s="1" t="s">
        <v>66</v>
      </c>
      <c r="D2" s="1">
        <v>86766</v>
      </c>
      <c r="E2" s="5">
        <v>42005</v>
      </c>
      <c r="H2" s="27" t="str">
        <f>IF(D2&gt;50000,"Eligible","Not Eligible")</f>
        <v>Eligible</v>
      </c>
      <c r="I2" s="27">
        <f ca="1">IF(E2&gt;TODAY(),"Not Available",DATEDIF(E2,TODAY(), "Y"))</f>
        <v>10</v>
      </c>
    </row>
    <row r="3" spans="1:9" x14ac:dyDescent="0.3">
      <c r="A3" s="3">
        <v>3002</v>
      </c>
      <c r="B3" s="3" t="s">
        <v>67</v>
      </c>
      <c r="C3" s="3" t="s">
        <v>66</v>
      </c>
      <c r="D3" s="3">
        <v>31943</v>
      </c>
      <c r="E3" s="4">
        <v>42255</v>
      </c>
      <c r="H3" s="27" t="str">
        <f t="shared" ref="H3:H21" si="0">IF(D3&gt;50000,"Eligible","Not Eligible")</f>
        <v>Not Eligible</v>
      </c>
      <c r="I3" s="27">
        <f t="shared" ref="I3:I21" ca="1" si="1">IF(E3&gt;TODAY(),"Not Available",DATEDIF(E3,TODAY(), "Y"))</f>
        <v>10</v>
      </c>
    </row>
    <row r="4" spans="1:9" x14ac:dyDescent="0.3">
      <c r="A4" s="3">
        <v>3003</v>
      </c>
      <c r="B4" s="3" t="s">
        <v>68</v>
      </c>
      <c r="C4" s="3" t="s">
        <v>69</v>
      </c>
      <c r="D4" s="3">
        <v>63374</v>
      </c>
      <c r="E4" s="4">
        <v>42505</v>
      </c>
      <c r="H4" s="27" t="str">
        <f t="shared" si="0"/>
        <v>Eligible</v>
      </c>
      <c r="I4" s="27">
        <f t="shared" ca="1" si="1"/>
        <v>9</v>
      </c>
    </row>
    <row r="5" spans="1:9" x14ac:dyDescent="0.3">
      <c r="A5" s="3">
        <v>3004</v>
      </c>
      <c r="B5" s="3" t="s">
        <v>70</v>
      </c>
      <c r="C5" s="3" t="s">
        <v>66</v>
      </c>
      <c r="D5" s="3">
        <v>109972</v>
      </c>
      <c r="E5" s="4">
        <v>42755</v>
      </c>
      <c r="H5" s="27" t="str">
        <f t="shared" si="0"/>
        <v>Eligible</v>
      </c>
      <c r="I5" s="27">
        <f t="shared" ca="1" si="1"/>
        <v>8</v>
      </c>
    </row>
    <row r="6" spans="1:9" x14ac:dyDescent="0.3">
      <c r="A6" s="3">
        <v>3005</v>
      </c>
      <c r="B6" s="3" t="s">
        <v>71</v>
      </c>
      <c r="C6" s="3" t="s">
        <v>72</v>
      </c>
      <c r="D6" s="3">
        <v>54149</v>
      </c>
      <c r="E6" s="4">
        <v>43005</v>
      </c>
      <c r="H6" s="27" t="str">
        <f t="shared" si="0"/>
        <v>Eligible</v>
      </c>
      <c r="I6" s="27">
        <f t="shared" ca="1" si="1"/>
        <v>8</v>
      </c>
    </row>
    <row r="7" spans="1:9" x14ac:dyDescent="0.3">
      <c r="A7" s="3">
        <v>3006</v>
      </c>
      <c r="B7" s="3" t="s">
        <v>73</v>
      </c>
      <c r="C7" s="3" t="s">
        <v>72</v>
      </c>
      <c r="D7" s="3">
        <v>78689</v>
      </c>
      <c r="E7" s="4">
        <v>43255</v>
      </c>
      <c r="H7" s="27" t="str">
        <f t="shared" si="0"/>
        <v>Eligible</v>
      </c>
      <c r="I7" s="27">
        <f t="shared" ca="1" si="1"/>
        <v>7</v>
      </c>
    </row>
    <row r="8" spans="1:9" x14ac:dyDescent="0.3">
      <c r="A8" s="3">
        <v>3007</v>
      </c>
      <c r="B8" s="3" t="s">
        <v>74</v>
      </c>
      <c r="C8" s="3" t="s">
        <v>75</v>
      </c>
      <c r="D8" s="3">
        <v>35960</v>
      </c>
      <c r="E8" s="4">
        <v>43505</v>
      </c>
      <c r="H8" s="27" t="str">
        <f t="shared" si="0"/>
        <v>Not Eligible</v>
      </c>
      <c r="I8" s="27">
        <f t="shared" ca="1" si="1"/>
        <v>6</v>
      </c>
    </row>
    <row r="9" spans="1:9" x14ac:dyDescent="0.3">
      <c r="A9" s="3">
        <v>3008</v>
      </c>
      <c r="B9" s="3" t="s">
        <v>76</v>
      </c>
      <c r="C9" s="3" t="s">
        <v>72</v>
      </c>
      <c r="D9" s="3">
        <v>91659</v>
      </c>
      <c r="E9" s="4">
        <v>43755</v>
      </c>
      <c r="H9" s="27" t="str">
        <f t="shared" si="0"/>
        <v>Eligible</v>
      </c>
      <c r="I9" s="27">
        <f t="shared" ca="1" si="1"/>
        <v>6</v>
      </c>
    </row>
    <row r="10" spans="1:9" x14ac:dyDescent="0.3">
      <c r="A10" s="3">
        <v>3009</v>
      </c>
      <c r="B10" s="3" t="s">
        <v>77</v>
      </c>
      <c r="C10" s="3" t="s">
        <v>72</v>
      </c>
      <c r="D10" s="3">
        <v>90423</v>
      </c>
      <c r="E10" s="4">
        <v>44005</v>
      </c>
      <c r="H10" s="27" t="str">
        <f t="shared" si="0"/>
        <v>Eligible</v>
      </c>
      <c r="I10" s="27">
        <f t="shared" ca="1" si="1"/>
        <v>5</v>
      </c>
    </row>
    <row r="11" spans="1:9" x14ac:dyDescent="0.3">
      <c r="A11" s="3">
        <v>3010</v>
      </c>
      <c r="B11" s="3" t="s">
        <v>78</v>
      </c>
      <c r="C11" s="3" t="s">
        <v>69</v>
      </c>
      <c r="D11" s="3">
        <v>107877</v>
      </c>
      <c r="E11" s="4">
        <v>44255</v>
      </c>
      <c r="H11" s="27" t="str">
        <f t="shared" si="0"/>
        <v>Eligible</v>
      </c>
      <c r="I11" s="27">
        <f t="shared" ca="1" si="1"/>
        <v>4</v>
      </c>
    </row>
    <row r="12" spans="1:9" x14ac:dyDescent="0.3">
      <c r="A12" s="3">
        <v>3011</v>
      </c>
      <c r="B12" s="3" t="s">
        <v>79</v>
      </c>
      <c r="C12" s="3" t="s">
        <v>66</v>
      </c>
      <c r="D12" s="3">
        <v>107634</v>
      </c>
      <c r="E12" s="4">
        <v>44505</v>
      </c>
      <c r="H12" s="27" t="str">
        <f t="shared" si="0"/>
        <v>Eligible</v>
      </c>
      <c r="I12" s="27">
        <f t="shared" ca="1" si="1"/>
        <v>4</v>
      </c>
    </row>
    <row r="13" spans="1:9" x14ac:dyDescent="0.3">
      <c r="A13" s="3">
        <v>3012</v>
      </c>
      <c r="B13" s="3" t="s">
        <v>80</v>
      </c>
      <c r="C13" s="3" t="s">
        <v>66</v>
      </c>
      <c r="D13" s="3">
        <v>35226</v>
      </c>
      <c r="E13" s="4">
        <v>44755</v>
      </c>
      <c r="H13" s="27" t="str">
        <f t="shared" si="0"/>
        <v>Not Eligible</v>
      </c>
      <c r="I13" s="27">
        <f t="shared" ca="1" si="1"/>
        <v>3</v>
      </c>
    </row>
    <row r="14" spans="1:9" x14ac:dyDescent="0.3">
      <c r="A14" s="3">
        <v>3013</v>
      </c>
      <c r="B14" s="3" t="s">
        <v>81</v>
      </c>
      <c r="C14" s="3" t="s">
        <v>69</v>
      </c>
      <c r="D14" s="3">
        <v>40872</v>
      </c>
      <c r="E14" s="4">
        <v>45005</v>
      </c>
      <c r="H14" s="27" t="str">
        <f t="shared" si="0"/>
        <v>Not Eligible</v>
      </c>
      <c r="I14" s="27">
        <f t="shared" ca="1" si="1"/>
        <v>2</v>
      </c>
    </row>
    <row r="15" spans="1:9" x14ac:dyDescent="0.3">
      <c r="A15" s="3">
        <v>3014</v>
      </c>
      <c r="B15" s="3" t="s">
        <v>82</v>
      </c>
      <c r="C15" s="3" t="s">
        <v>69</v>
      </c>
      <c r="D15" s="3">
        <v>55378</v>
      </c>
      <c r="E15" s="4">
        <v>45255</v>
      </c>
      <c r="H15" s="27" t="str">
        <f t="shared" si="0"/>
        <v>Eligible</v>
      </c>
      <c r="I15" s="27">
        <f t="shared" ca="1" si="1"/>
        <v>2</v>
      </c>
    </row>
    <row r="16" spans="1:9" x14ac:dyDescent="0.3">
      <c r="A16" s="3">
        <v>3015</v>
      </c>
      <c r="B16" s="3" t="s">
        <v>83</v>
      </c>
      <c r="C16" s="3" t="s">
        <v>69</v>
      </c>
      <c r="D16" s="3">
        <v>63297</v>
      </c>
      <c r="E16" s="4">
        <v>45505</v>
      </c>
      <c r="H16" s="27" t="str">
        <f t="shared" si="0"/>
        <v>Eligible</v>
      </c>
      <c r="I16" s="27">
        <f t="shared" ca="1" si="1"/>
        <v>1</v>
      </c>
    </row>
    <row r="17" spans="1:9" x14ac:dyDescent="0.3">
      <c r="A17" s="3">
        <v>3016</v>
      </c>
      <c r="B17" s="3" t="s">
        <v>84</v>
      </c>
      <c r="C17" s="3" t="s">
        <v>66</v>
      </c>
      <c r="D17" s="3">
        <v>114173</v>
      </c>
      <c r="E17" s="4">
        <v>45755</v>
      </c>
      <c r="H17" s="27" t="str">
        <f t="shared" si="0"/>
        <v>Eligible</v>
      </c>
      <c r="I17" s="27">
        <f t="shared" ca="1" si="1"/>
        <v>0</v>
      </c>
    </row>
    <row r="18" spans="1:9" x14ac:dyDescent="0.3">
      <c r="A18" s="3">
        <v>3017</v>
      </c>
      <c r="B18" s="3" t="s">
        <v>85</v>
      </c>
      <c r="C18" s="3" t="s">
        <v>69</v>
      </c>
      <c r="D18" s="3">
        <v>86915</v>
      </c>
      <c r="E18" s="4">
        <v>46005</v>
      </c>
      <c r="H18" s="27" t="str">
        <f t="shared" si="0"/>
        <v>Eligible</v>
      </c>
      <c r="I18" s="27" t="str">
        <f t="shared" ca="1" si="1"/>
        <v>Not Available</v>
      </c>
    </row>
    <row r="19" spans="1:9" x14ac:dyDescent="0.3">
      <c r="A19" s="3">
        <v>3018</v>
      </c>
      <c r="B19" s="3" t="s">
        <v>86</v>
      </c>
      <c r="C19" s="3" t="s">
        <v>72</v>
      </c>
      <c r="D19" s="3">
        <v>116284</v>
      </c>
      <c r="E19" s="4">
        <v>46255</v>
      </c>
      <c r="H19" s="27" t="str">
        <f t="shared" si="0"/>
        <v>Eligible</v>
      </c>
      <c r="I19" s="27" t="str">
        <f t="shared" ca="1" si="1"/>
        <v>Not Available</v>
      </c>
    </row>
    <row r="20" spans="1:9" x14ac:dyDescent="0.3">
      <c r="A20" s="3">
        <v>3019</v>
      </c>
      <c r="B20" s="3" t="s">
        <v>87</v>
      </c>
      <c r="C20" s="3" t="s">
        <v>75</v>
      </c>
      <c r="D20" s="3">
        <v>116283</v>
      </c>
      <c r="E20" s="4">
        <v>46505</v>
      </c>
      <c r="H20" s="27" t="str">
        <f t="shared" si="0"/>
        <v>Eligible</v>
      </c>
      <c r="I20" s="27" t="str">
        <f t="shared" ca="1" si="1"/>
        <v>Not Available</v>
      </c>
    </row>
    <row r="21" spans="1:9" x14ac:dyDescent="0.3">
      <c r="A21" s="3">
        <v>3020</v>
      </c>
      <c r="B21" s="3" t="s">
        <v>88</v>
      </c>
      <c r="C21" s="3" t="s">
        <v>75</v>
      </c>
      <c r="D21" s="3">
        <v>99924</v>
      </c>
      <c r="E21" s="4">
        <v>46755</v>
      </c>
      <c r="H21" s="27" t="str">
        <f t="shared" si="0"/>
        <v>Eligible</v>
      </c>
      <c r="I21" s="27" t="str">
        <f t="shared" ca="1" si="1"/>
        <v>Not Available</v>
      </c>
    </row>
    <row r="28" spans="1:9" ht="27" customHeight="1" x14ac:dyDescent="0.3">
      <c r="B28" s="41" t="s">
        <v>111</v>
      </c>
      <c r="C28" s="41"/>
      <c r="E28" s="40" t="s">
        <v>113</v>
      </c>
      <c r="F28" s="40"/>
      <c r="H28" s="41" t="s">
        <v>114</v>
      </c>
      <c r="I28" s="41"/>
    </row>
    <row r="29" spans="1:9" x14ac:dyDescent="0.3">
      <c r="B29" s="30" t="s">
        <v>66</v>
      </c>
      <c r="C29" s="27">
        <f>SUMIFS($D$2:$D$21, $C$2:$C$21, B29)</f>
        <v>485714</v>
      </c>
      <c r="E29" s="30" t="s">
        <v>66</v>
      </c>
      <c r="F29" s="28">
        <f>COUNTIFS($C$2:$C$21,E29,$D$2:$D$21,"&gt;50000")</f>
        <v>4</v>
      </c>
      <c r="H29" s="29" t="s">
        <v>115</v>
      </c>
      <c r="I29" s="28">
        <v>3002</v>
      </c>
    </row>
    <row r="30" spans="1:9" x14ac:dyDescent="0.3">
      <c r="B30" s="29" t="s">
        <v>112</v>
      </c>
      <c r="C30" s="27">
        <f t="shared" ref="C30:C32" si="2">SUMIFS($D$2:$D$21, $C$2:$C$21, B30)</f>
        <v>417713</v>
      </c>
      <c r="E30" s="29" t="s">
        <v>112</v>
      </c>
      <c r="F30" s="28">
        <f t="shared" ref="F30:F32" si="3">COUNTIFS($C$2:$C$21,E30,$D$2:$D$21,"&gt;50000")</f>
        <v>5</v>
      </c>
      <c r="H30" s="30" t="s">
        <v>116</v>
      </c>
      <c r="I30" s="28" t="str">
        <f>B3</f>
        <v>Employee 2</v>
      </c>
    </row>
    <row r="31" spans="1:9" x14ac:dyDescent="0.3">
      <c r="B31" s="29" t="s">
        <v>75</v>
      </c>
      <c r="C31" s="27">
        <f t="shared" si="2"/>
        <v>252167</v>
      </c>
      <c r="E31" s="29" t="s">
        <v>75</v>
      </c>
      <c r="F31" s="28">
        <f t="shared" si="3"/>
        <v>2</v>
      </c>
      <c r="H31" s="29" t="s">
        <v>117</v>
      </c>
      <c r="I31" s="28">
        <f>_xlfn.XLOOKUP(I29,A2:A21,D2:D21,"Not Found")</f>
        <v>31943</v>
      </c>
    </row>
    <row r="32" spans="1:9" x14ac:dyDescent="0.3">
      <c r="B32" s="29" t="s">
        <v>72</v>
      </c>
      <c r="C32" s="27">
        <f t="shared" si="2"/>
        <v>431204</v>
      </c>
      <c r="E32" s="29" t="s">
        <v>72</v>
      </c>
      <c r="F32" s="28">
        <f t="shared" si="3"/>
        <v>5</v>
      </c>
      <c r="H32" s="29" t="s">
        <v>118</v>
      </c>
      <c r="I32" s="28" t="str">
        <f>INDEX(C2:C21,MATCH($I$29, A2:A22,0))</f>
        <v>Finance</v>
      </c>
    </row>
  </sheetData>
  <mergeCells count="3">
    <mergeCell ref="B28:C28"/>
    <mergeCell ref="E28:F28"/>
    <mergeCell ref="H28:I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64B74-75DB-4F08-9950-1A6ACDB2FD56}">
  <sheetPr>
    <tabColor rgb="FF7030A0"/>
  </sheetPr>
  <dimension ref="A1:E12"/>
  <sheetViews>
    <sheetView workbookViewId="0">
      <selection activeCell="B12" sqref="B12"/>
    </sheetView>
  </sheetViews>
  <sheetFormatPr defaultRowHeight="14.4" x14ac:dyDescent="0.3"/>
  <cols>
    <col min="1" max="1" width="14.21875" customWidth="1"/>
    <col min="2" max="2" width="13.109375" customWidth="1"/>
    <col min="3" max="3" width="9.88671875" customWidth="1"/>
    <col min="4" max="4" width="13.5546875" customWidth="1"/>
  </cols>
  <sheetData>
    <row r="1" spans="1:5" x14ac:dyDescent="0.3">
      <c r="A1" s="33" t="s">
        <v>119</v>
      </c>
      <c r="B1" s="33" t="s">
        <v>120</v>
      </c>
      <c r="C1" s="33" t="s">
        <v>121</v>
      </c>
      <c r="D1" s="8"/>
      <c r="E1" s="32"/>
    </row>
    <row r="2" spans="1:5" x14ac:dyDescent="0.3">
      <c r="A2" s="12" t="s">
        <v>122</v>
      </c>
      <c r="B2" s="12" t="s">
        <v>52</v>
      </c>
      <c r="C2" s="12">
        <v>45000</v>
      </c>
      <c r="D2" s="8"/>
      <c r="E2" s="8"/>
    </row>
    <row r="3" spans="1:5" x14ac:dyDescent="0.3">
      <c r="A3" s="12" t="s">
        <v>123</v>
      </c>
      <c r="B3" s="12" t="s">
        <v>50</v>
      </c>
      <c r="C3" s="12">
        <v>15000</v>
      </c>
      <c r="D3" s="8"/>
      <c r="E3" s="8"/>
    </row>
    <row r="4" spans="1:5" x14ac:dyDescent="0.3">
      <c r="A4" s="12" t="s">
        <v>124</v>
      </c>
      <c r="B4" s="12" t="s">
        <v>32</v>
      </c>
      <c r="C4" s="12">
        <v>2500</v>
      </c>
      <c r="D4" s="8"/>
      <c r="E4" s="8"/>
    </row>
    <row r="5" spans="1:5" x14ac:dyDescent="0.3">
      <c r="A5" s="12" t="s">
        <v>125</v>
      </c>
      <c r="B5" s="12" t="s">
        <v>38</v>
      </c>
      <c r="C5" s="12">
        <v>800</v>
      </c>
      <c r="D5" s="8"/>
      <c r="E5" s="8"/>
    </row>
    <row r="6" spans="1:5" x14ac:dyDescent="0.3">
      <c r="A6" s="12" t="s">
        <v>126</v>
      </c>
      <c r="B6" s="12" t="s">
        <v>35</v>
      </c>
      <c r="C6" s="12">
        <v>8000</v>
      </c>
      <c r="D6" s="8"/>
      <c r="E6" s="8"/>
    </row>
    <row r="7" spans="1:5" x14ac:dyDescent="0.3">
      <c r="A7" s="8"/>
      <c r="B7" s="8"/>
      <c r="C7" s="8"/>
      <c r="D7" s="8"/>
      <c r="E7" s="8"/>
    </row>
    <row r="8" spans="1:5" x14ac:dyDescent="0.3">
      <c r="A8" s="8"/>
      <c r="B8" s="8"/>
      <c r="C8" s="8"/>
      <c r="D8" s="8"/>
      <c r="E8" s="8"/>
    </row>
    <row r="9" spans="1:5" x14ac:dyDescent="0.3">
      <c r="A9" s="42" t="s">
        <v>127</v>
      </c>
      <c r="B9" s="42"/>
      <c r="C9" s="8"/>
      <c r="D9" s="42" t="s">
        <v>128</v>
      </c>
      <c r="E9" s="42"/>
    </row>
    <row r="10" spans="1:5" x14ac:dyDescent="0.3">
      <c r="A10" s="30" t="s">
        <v>129</v>
      </c>
      <c r="B10" s="31">
        <v>1001</v>
      </c>
      <c r="C10" s="8"/>
      <c r="D10" s="30" t="s">
        <v>130</v>
      </c>
      <c r="E10" s="31" t="s">
        <v>125</v>
      </c>
    </row>
    <row r="11" spans="1:5" x14ac:dyDescent="0.3">
      <c r="A11" s="30" t="s">
        <v>131</v>
      </c>
      <c r="B11" s="31" t="s">
        <v>6</v>
      </c>
      <c r="C11" s="8"/>
      <c r="D11" s="30" t="s">
        <v>132</v>
      </c>
      <c r="E11" s="31" t="str">
        <f>VLOOKUP(E10,A2:C6,2,FALSE)</f>
        <v>Mouse</v>
      </c>
    </row>
    <row r="12" spans="1:5" x14ac:dyDescent="0.3">
      <c r="A12" s="30" t="s">
        <v>133</v>
      </c>
      <c r="B12" s="31" t="s">
        <v>134</v>
      </c>
      <c r="C12" s="8"/>
      <c r="D12" s="30" t="s">
        <v>135</v>
      </c>
      <c r="E12" s="28">
        <f>VLOOKUP(E10,A2:C6,3,FALSE)</f>
        <v>800</v>
      </c>
    </row>
  </sheetData>
  <mergeCells count="2">
    <mergeCell ref="A9:B9"/>
    <mergeCell ref="D9:E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972E-EEAC-45AF-8A3C-E8BC03ED22F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 Grade</vt:lpstr>
      <vt:lpstr>Sales Data</vt:lpstr>
      <vt:lpstr>Employees Data</vt:lpstr>
      <vt:lpstr>Vlookup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MAITY ADHIR</dc:creator>
  <cp:lastModifiedBy>MAITY ADHIR</cp:lastModifiedBy>
  <dcterms:created xsi:type="dcterms:W3CDTF">2025-12-13T09:12:03Z</dcterms:created>
  <dcterms:modified xsi:type="dcterms:W3CDTF">2025-12-13T13:11:23Z</dcterms:modified>
</cp:coreProperties>
</file>